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dhana\Downloads\"/>
    </mc:Choice>
  </mc:AlternateContent>
  <xr:revisionPtr revIDLastSave="0" documentId="8_{2C63A4F9-9CD3-45B0-B814-374C2B26D1D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ales_Data" sheetId="1" r:id="rId1"/>
    <sheet name="Product_Lookup" sheetId="2" r:id="rId2"/>
    <sheet name="15_Tasks" sheetId="3" r:id="rId3"/>
    <sheet name="Practice_Are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0" i="4"/>
  <c r="N3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C13" i="4"/>
  <c r="C12" i="4"/>
  <c r="C11" i="4"/>
  <c r="B9" i="4"/>
  <c r="B8" i="4"/>
  <c r="B7" i="4"/>
  <c r="B6" i="4"/>
  <c r="M8" i="1"/>
  <c r="M9" i="1"/>
  <c r="M22" i="1"/>
  <c r="M23" i="1"/>
  <c r="M24" i="1"/>
  <c r="M25" i="1"/>
  <c r="M37" i="1"/>
  <c r="M38" i="1"/>
  <c r="M50" i="1"/>
  <c r="M51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L9" i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L23" i="1"/>
  <c r="L24" i="1"/>
  <c r="L25" i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L38" i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L51" i="1"/>
  <c r="B5" i="4"/>
  <c r="I54" i="1"/>
  <c r="B4" i="4"/>
  <c r="H54" i="1"/>
  <c r="H56" i="1" l="1"/>
  <c r="H55" i="1"/>
  <c r="K54" i="1"/>
  <c r="I57" i="1"/>
  <c r="I56" i="1"/>
  <c r="I55" i="1"/>
</calcChain>
</file>

<file path=xl/sharedStrings.xml><?xml version="1.0" encoding="utf-8"?>
<sst xmlns="http://schemas.openxmlformats.org/spreadsheetml/2006/main" count="440" uniqueCount="141">
  <si>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</si>
  <si>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</si>
  <si>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</si>
  <si>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</si>
  <si>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</si>
  <si>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</si>
  <si>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</si>
  <si>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</si>
  <si>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</si>
  <si>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</si>
  <si>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</si>
  <si>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</si>
  <si>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</si>
  <si>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</si>
  <si>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</si>
  <si>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</si>
  <si>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</si>
  <si>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</si>
  <si>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</si>
  <si>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</si>
  <si>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</si>
  <si>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</si>
  <si>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</si>
  <si>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</si>
  <si>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</si>
  <si>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</si>
  <si>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</si>
  <si>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</si>
  <si>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</si>
  <si>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</si>
  <si>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</si>
  <si>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</si>
  <si>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</si>
  <si>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</si>
  <si>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</si>
  <si>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</si>
  <si>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</si>
  <si>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</si>
  <si>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</si>
  <si>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</si>
  <si>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</si>
  <si>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</si>
  <si>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</si>
  <si>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</si>
  <si>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</si>
  <si>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</si>
  <si>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</si>
  <si>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</si>
  <si>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</si>
  <si>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</si>
  <si>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</si>
  <si>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</si>
  <si>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</si>
  <si>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</si>
  <si>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</si>
  <si>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</si>
  <si>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</si>
  <si>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</si>
  <si>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</si>
  <si>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</si>
  <si>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</si>
  <si>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</si>
  <si>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</si>
  <si>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</si>
  <si>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</si>
  <si>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</si>
  <si>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</si>
  <si>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</si>
  <si>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</si>
  <si>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</si>
  <si>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</si>
  <si>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</si>
  <si>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</si>
  <si>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</si>
  <si>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</si>
  <si>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</si>
  <si>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</si>
  <si>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</si>
  <si>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</si>
  <si>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</si>
  <si>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</si>
  <si>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</si>
  <si>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</si>
  <si>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</si>
  <si>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</si>
  <si>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</si>
  <si>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</si>
  <si>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</si>
  <si>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</si>
  <si>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</si>
  <si>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</si>
  <si>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</si>
  <si>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</si>
  <si>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</si>
  <si>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</si>
  <si>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</si>
  <si>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</si>
  <si>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</si>
  <si>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</si>
  <si>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</si>
  <si>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</si>
  <si>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</si>
  <si>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</si>
  <si>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</si>
  <si>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</si>
  <si>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</si>
  <si>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</si>
  <si>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Task No.</t>
  </si>
  <si>
    <t>Excel Practical Task</t>
  </si>
  <si>
    <t>Suggested Function / Feature</t>
  </si>
  <si>
    <t>Calculate the total Quantity sold for all orders.</t>
  </si>
  <si>
    <t>SUM</t>
  </si>
  <si>
    <t>Calculate the average Unit Price of all products in the sales data.</t>
  </si>
  <si>
    <t>AVERAGE</t>
  </si>
  <si>
    <t>Find the highest Unit Price in the sales data.</t>
  </si>
  <si>
    <t>MAX</t>
  </si>
  <si>
    <t>Find the lowest Unit Price in the sales data.</t>
  </si>
  <si>
    <t>MIN</t>
  </si>
  <si>
    <t>Count how many orders are present in the dataset.</t>
  </si>
  <si>
    <t>COUNT / COUNTA</t>
  </si>
  <si>
    <t>Count how many orders were paid using UPI.</t>
  </si>
  <si>
    <t>COUNTIF</t>
  </si>
  <si>
    <t>Calculate the total Quantity sold for the South region.</t>
  </si>
  <si>
    <t>SUMIF</t>
  </si>
  <si>
    <t>Calculate the total Quantity sold for the Electronics category.</t>
  </si>
  <si>
    <t>Calculate the total sales value for each order using Quantity × Unit Price.</t>
  </si>
  <si>
    <t>Arithmetic / Formula</t>
  </si>
  <si>
    <t>Calculate the discounted sales value for each order using Quantity × Unit Price × (1-Discount).</t>
  </si>
  <si>
    <t>Using the Product_Lookup sheet, return the Category for each Product.</t>
  </si>
  <si>
    <t>XLOOKUP / VLOOKUP</t>
  </si>
  <si>
    <t>Using the Product_Lookup sheet, return the Supplier for each Product.</t>
  </si>
  <si>
    <t>Using the Product_Lookup sheet, return the current Stock Status for each Product.</t>
  </si>
  <si>
    <t>Use IF to label each order as 'High Value' if discounted sales value is &gt;= 50000, otherwise 'Normal'.</t>
  </si>
  <si>
    <t>IF</t>
  </si>
  <si>
    <t>Find the total discounted sales value for orders handled by salesperson 'Priya'.</t>
  </si>
  <si>
    <t>SUMIF / SUMIFS</t>
  </si>
  <si>
    <t>Use this sheet to write your formulas/results.</t>
  </si>
  <si>
    <t>Your Formula / Result</t>
  </si>
  <si>
    <t>Discount2</t>
  </si>
  <si>
    <t>Total sales</t>
  </si>
  <si>
    <t>Value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</si>
</sst>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NumberFormat="1"/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N51">
  <autoFilter ref="A1:N51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Product"/>
    <tableColumn id="5" xr3:uid="{00000000-0010-0000-0000-000005000000}" name="Category"/>
    <tableColumn id="6" xr3:uid="{00000000-0010-0000-0000-000006000000}" name="Region"/>
    <tableColumn id="7" xr3:uid="{00000000-0010-0000-0000-000007000000}" name="Salesperson"/>
    <tableColumn id="8" xr3:uid="{00000000-0010-0000-0000-000008000000}" name="Quantity"/>
    <tableColumn id="9" xr3:uid="{00000000-0010-0000-0000-000009000000}" name="Unit_Price"/>
    <tableColumn id="10" xr3:uid="{00000000-0010-0000-0000-00000A000000}" name="Discount"/>
    <tableColumn id="11" xr3:uid="{00000000-0010-0000-0000-00000B000000}" name="Payment_Mode"/>
    <tableColumn id="12" xr3:uid="{2BB8EA30-4023-451E-8119-806E8101A393}" name="Total sales" dataDxfId="2">
      <calculatedColumnFormula>SalesTable[[#This Row],[Unit_Price]]*SalesTable[[#This Row],[Quantity]]</calculatedColumnFormula>
    </tableColumn>
    <tableColumn id="13" xr3:uid="{2C1D7513-FD89-4B07-92A9-0BAE9E6C6C36}" name="Discount2" dataDxfId="1">
      <calculatedColumnFormula>SalesTable[[#This Row],[Total sales]]*(1-SalesTable[[#This Row],[Discount]])</calculatedColumnFormula>
    </tableColumn>
    <tableColumn id="14" xr3:uid="{66F481AA-B032-4403-A367-D4551DA052CD}" name="Value type" dataDxfId="0">
      <calculatedColumnFormula>IF(Sales_Data!M2&gt;50000,"high value","normal value")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Table" displayName="ProductLookupTable" ref="A1:E9">
  <autoFilter ref="A1:E9" xr:uid="{00000000-0009-0000-0100-000002000000}"/>
  <tableColumns count="5">
    <tableColumn id="1" xr3:uid="{00000000-0010-0000-0100-000001000000}" name="Product"/>
    <tableColumn id="2" xr3:uid="{00000000-0010-0000-0100-000002000000}" name="Category"/>
    <tableColumn id="3" xr3:uid="{00000000-0010-0000-0100-000003000000}" name="Unit_Price"/>
    <tableColumn id="4" xr3:uid="{00000000-0010-0000-0100-000004000000}" name="Supplier"/>
    <tableColumn id="5" xr3:uid="{00000000-0010-0000-0100-000005000000}" name="Stock_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Table" displayName="TaskTable" ref="A1:C16">
  <autoFilter ref="A1:C16" xr:uid="{00000000-0009-0000-0100-000003000000}"/>
  <tableColumns count="3">
    <tableColumn id="1" xr3:uid="{00000000-0010-0000-0200-000001000000}" name="Task No."/>
    <tableColumn id="2" xr3:uid="{00000000-0010-0000-0200-000002000000}" name="Excel Practical Task"/>
    <tableColumn id="3" xr3:uid="{00000000-0010-0000-0200-000003000000}" name="Suggested Function / Fea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workbookViewId="0">
      <pane ySplit="1" topLeftCell="A2" activePane="bottomLeft" state="frozen"/>
      <selection pane="bottomLeft" activeCell="N38" sqref="N38"/>
    </sheetView>
  </sheetViews>
  <sheetFormatPr defaultRowHeight="14.4" x14ac:dyDescent="0.3"/>
  <cols>
    <col min="1" max="1" width="12" customWidth="1"/>
    <col min="2" max="4" width="14" customWidth="1"/>
    <col min="5" max="5" width="15" customWidth="1"/>
    <col min="6" max="6" width="12" customWidth="1"/>
    <col min="7" max="7" width="15" customWidth="1"/>
    <col min="8" max="8" width="11" customWidth="1"/>
    <col min="9" max="9" width="13" customWidth="1"/>
    <col min="10" max="10" width="12" customWidth="1"/>
    <col min="11" max="11" width="16" customWidth="1"/>
    <col min="14" max="14" width="16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139</v>
      </c>
      <c r="M1" t="s">
        <v>138</v>
      </c>
      <c r="N1" t="s">
        <v>140</v>
      </c>
    </row>
    <row r="2" spans="1:14" x14ac:dyDescent="0.3">
      <c r="A2" t="s">
        <v>11</v>
      </c>
      <c r="B2" s="2">
        <v>46054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s="3">
        <v>800</v>
      </c>
      <c r="J2" s="4">
        <v>0.1</v>
      </c>
      <c r="K2" t="s">
        <v>17</v>
      </c>
      <c r="L2">
        <f>SalesTable[[#This Row],[Unit_Price]]*SalesTable[[#This Row],[Quantity]]</f>
        <v>800</v>
      </c>
      <c r="M2">
        <f>SalesTable[[#This Row],[Total sales]]*(1-SalesTable[[#This Row],[Discount]])</f>
        <v>720</v>
      </c>
      <c r="N2" t="str">
        <f>IF(Sales_Data!M2&gt;50000,"high value","normal value")</f>
        <v>normal value</v>
      </c>
    </row>
    <row r="3" spans="1:14" x14ac:dyDescent="0.3">
      <c r="A3" t="s">
        <v>18</v>
      </c>
      <c r="B3" s="2">
        <v>46034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>
        <v>1</v>
      </c>
      <c r="I3" s="3">
        <v>3500</v>
      </c>
      <c r="J3" s="4">
        <v>0</v>
      </c>
      <c r="K3" t="s">
        <v>17</v>
      </c>
      <c r="L3">
        <f>SalesTable[[#This Row],[Unit_Price]]*SalesTable[[#This Row],[Quantity]]</f>
        <v>3500</v>
      </c>
      <c r="M3">
        <f>SalesTable[[#This Row],[Total sales]]*(1-SalesTable[[#This Row],[Discount]])</f>
        <v>3500</v>
      </c>
      <c r="N3" t="str">
        <f>IF(Sales_Data!M3&gt;50000,"high value","normal value")</f>
        <v>normal value</v>
      </c>
    </row>
    <row r="4" spans="1:14" x14ac:dyDescent="0.3">
      <c r="A4" t="s">
        <v>21</v>
      </c>
      <c r="B4" s="2">
        <v>46080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>
        <v>7</v>
      </c>
      <c r="I4" s="3">
        <v>12000</v>
      </c>
      <c r="J4" s="4">
        <v>0.05</v>
      </c>
      <c r="K4" t="s">
        <v>26</v>
      </c>
      <c r="L4">
        <f>SalesTable[[#This Row],[Unit_Price]]*SalesTable[[#This Row],[Quantity]]</f>
        <v>84000</v>
      </c>
      <c r="M4">
        <f>SalesTable[[#This Row],[Total sales]]*(1-SalesTable[[#This Row],[Discount]])</f>
        <v>79800</v>
      </c>
      <c r="N4" t="str">
        <f>IF(Sales_Data!M4&gt;50000,"high value","normal value")</f>
        <v>high value</v>
      </c>
    </row>
    <row r="5" spans="1:14" x14ac:dyDescent="0.3">
      <c r="A5" t="s">
        <v>27</v>
      </c>
      <c r="B5" s="2">
        <v>46042</v>
      </c>
      <c r="C5" t="s">
        <v>12</v>
      </c>
      <c r="D5" t="s">
        <v>19</v>
      </c>
      <c r="E5" t="s">
        <v>14</v>
      </c>
      <c r="F5" t="s">
        <v>25</v>
      </c>
      <c r="G5" t="s">
        <v>16</v>
      </c>
      <c r="H5">
        <v>6</v>
      </c>
      <c r="I5" s="3">
        <v>3500</v>
      </c>
      <c r="J5" s="4">
        <v>0.1</v>
      </c>
      <c r="K5" t="s">
        <v>17</v>
      </c>
      <c r="L5">
        <f>SalesTable[[#This Row],[Unit_Price]]*SalesTable[[#This Row],[Quantity]]</f>
        <v>21000</v>
      </c>
      <c r="M5">
        <f>SalesTable[[#This Row],[Total sales]]*(1-SalesTable[[#This Row],[Discount]])</f>
        <v>18900</v>
      </c>
      <c r="N5" t="str">
        <f>IF(Sales_Data!M5&gt;50000,"high value","normal value")</f>
        <v>normal value</v>
      </c>
    </row>
    <row r="6" spans="1:14" x14ac:dyDescent="0.3">
      <c r="A6" t="s">
        <v>28</v>
      </c>
      <c r="B6" s="2">
        <v>46067</v>
      </c>
      <c r="C6" t="s">
        <v>22</v>
      </c>
      <c r="D6" t="s">
        <v>19</v>
      </c>
      <c r="E6" t="s">
        <v>14</v>
      </c>
      <c r="F6" t="s">
        <v>25</v>
      </c>
      <c r="G6" t="s">
        <v>16</v>
      </c>
      <c r="H6">
        <v>2</v>
      </c>
      <c r="I6" s="3">
        <v>3500</v>
      </c>
      <c r="J6" s="4">
        <v>0.1</v>
      </c>
      <c r="K6" t="s">
        <v>29</v>
      </c>
      <c r="L6">
        <f>SalesTable[[#This Row],[Unit_Price]]*SalesTable[[#This Row],[Quantity]]</f>
        <v>7000</v>
      </c>
      <c r="M6">
        <f>SalesTable[[#This Row],[Total sales]]*(1-SalesTable[[#This Row],[Discount]])</f>
        <v>6300</v>
      </c>
      <c r="N6" t="str">
        <f>IF(Sales_Data!M6&gt;50000,"high value","normal value")</f>
        <v>normal value</v>
      </c>
    </row>
    <row r="7" spans="1:14" x14ac:dyDescent="0.3">
      <c r="A7" t="s">
        <v>30</v>
      </c>
      <c r="B7" s="2">
        <v>46093</v>
      </c>
      <c r="C7" t="s">
        <v>31</v>
      </c>
      <c r="D7" t="s">
        <v>13</v>
      </c>
      <c r="E7" t="s">
        <v>14</v>
      </c>
      <c r="F7" t="s">
        <v>25</v>
      </c>
      <c r="G7" t="s">
        <v>20</v>
      </c>
      <c r="H7">
        <v>7</v>
      </c>
      <c r="I7" s="3">
        <v>800</v>
      </c>
      <c r="J7" s="4">
        <v>0</v>
      </c>
      <c r="K7" t="s">
        <v>26</v>
      </c>
      <c r="L7">
        <f>SalesTable[[#This Row],[Unit_Price]]*SalesTable[[#This Row],[Quantity]]</f>
        <v>5600</v>
      </c>
      <c r="M7">
        <f>SalesTable[[#This Row],[Total sales]]*(1-SalesTable[[#This Row],[Discount]])</f>
        <v>5600</v>
      </c>
      <c r="N7" t="str">
        <f>IF(Sales_Data!M7&gt;50000,"high value","normal value")</f>
        <v>normal value</v>
      </c>
    </row>
    <row r="8" spans="1:14" x14ac:dyDescent="0.3">
      <c r="A8" t="s">
        <v>32</v>
      </c>
      <c r="B8" s="2">
        <v>46060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>
        <v>1</v>
      </c>
      <c r="I8" s="3">
        <v>800</v>
      </c>
      <c r="J8" s="4">
        <v>0.05</v>
      </c>
      <c r="K8" t="s">
        <v>29</v>
      </c>
      <c r="L8">
        <f>SalesTable[[#This Row],[Unit_Price]]*SalesTable[[#This Row],[Quantity]]</f>
        <v>800</v>
      </c>
      <c r="M8">
        <f>SalesTable[[#This Row],[Total sales]]*(1-SalesTable[[#This Row],[Discount]])</f>
        <v>760</v>
      </c>
      <c r="N8" t="str">
        <f>IF(Sales_Data!M8&gt;50000,"high value","normal value")</f>
        <v>normal value</v>
      </c>
    </row>
    <row r="9" spans="1:14" x14ac:dyDescent="0.3">
      <c r="A9" t="s">
        <v>34</v>
      </c>
      <c r="B9" s="2">
        <v>46043</v>
      </c>
      <c r="C9" t="s">
        <v>35</v>
      </c>
      <c r="D9" t="s">
        <v>36</v>
      </c>
      <c r="E9" t="s">
        <v>14</v>
      </c>
      <c r="F9" t="s">
        <v>25</v>
      </c>
      <c r="G9" t="s">
        <v>37</v>
      </c>
      <c r="H9">
        <v>8</v>
      </c>
      <c r="I9" s="3">
        <v>2200</v>
      </c>
      <c r="J9" s="4">
        <v>0.1</v>
      </c>
      <c r="K9" t="s">
        <v>38</v>
      </c>
      <c r="L9">
        <f>SalesTable[[#This Row],[Unit_Price]]*SalesTable[[#This Row],[Quantity]]</f>
        <v>17600</v>
      </c>
      <c r="M9">
        <f>SalesTable[[#This Row],[Total sales]]*(1-SalesTable[[#This Row],[Discount]])</f>
        <v>15840</v>
      </c>
      <c r="N9" t="str">
        <f>IF(Sales_Data!M9&gt;50000,"high value","normal value")</f>
        <v>normal value</v>
      </c>
    </row>
    <row r="10" spans="1:14" x14ac:dyDescent="0.3">
      <c r="A10" t="s">
        <v>39</v>
      </c>
      <c r="B10" s="2">
        <v>46043</v>
      </c>
      <c r="C10" t="s">
        <v>40</v>
      </c>
      <c r="D10" t="s">
        <v>13</v>
      </c>
      <c r="E10" t="s">
        <v>14</v>
      </c>
      <c r="F10" t="s">
        <v>41</v>
      </c>
      <c r="G10" t="s">
        <v>42</v>
      </c>
      <c r="H10">
        <v>3</v>
      </c>
      <c r="I10" s="3">
        <v>800</v>
      </c>
      <c r="J10" s="4">
        <v>0.05</v>
      </c>
      <c r="K10" t="s">
        <v>26</v>
      </c>
      <c r="L10">
        <f>SalesTable[[#This Row],[Unit_Price]]*SalesTable[[#This Row],[Quantity]]</f>
        <v>2400</v>
      </c>
      <c r="M10">
        <f>SalesTable[[#This Row],[Total sales]]*(1-SalesTable[[#This Row],[Discount]])</f>
        <v>2280</v>
      </c>
      <c r="N10" t="str">
        <f>IF(Sales_Data!M10&gt;50000,"high value","normal value")</f>
        <v>normal value</v>
      </c>
    </row>
    <row r="11" spans="1:14" x14ac:dyDescent="0.3">
      <c r="A11" t="s">
        <v>43</v>
      </c>
      <c r="B11" s="2">
        <v>46027</v>
      </c>
      <c r="C11" t="s">
        <v>44</v>
      </c>
      <c r="D11" t="s">
        <v>45</v>
      </c>
      <c r="E11" t="s">
        <v>24</v>
      </c>
      <c r="F11" t="s">
        <v>25</v>
      </c>
      <c r="G11" t="s">
        <v>46</v>
      </c>
      <c r="H11">
        <v>1</v>
      </c>
      <c r="I11" s="3">
        <v>9500</v>
      </c>
      <c r="J11" s="4">
        <v>0.05</v>
      </c>
      <c r="K11" t="s">
        <v>38</v>
      </c>
      <c r="L11">
        <f>SalesTable[[#This Row],[Unit_Price]]*SalesTable[[#This Row],[Quantity]]</f>
        <v>9500</v>
      </c>
      <c r="M11">
        <f>SalesTable[[#This Row],[Total sales]]*(1-SalesTable[[#This Row],[Discount]])</f>
        <v>9025</v>
      </c>
      <c r="N11" t="str">
        <f>IF(Sales_Data!M11&gt;50000,"high value","normal value")</f>
        <v>normal value</v>
      </c>
    </row>
    <row r="12" spans="1:14" x14ac:dyDescent="0.3">
      <c r="A12" t="s">
        <v>47</v>
      </c>
      <c r="B12" s="2">
        <v>46050</v>
      </c>
      <c r="C12" t="s">
        <v>48</v>
      </c>
      <c r="D12" t="s">
        <v>13</v>
      </c>
      <c r="E12" t="s">
        <v>14</v>
      </c>
      <c r="F12" t="s">
        <v>41</v>
      </c>
      <c r="G12" t="s">
        <v>46</v>
      </c>
      <c r="H12">
        <v>4</v>
      </c>
      <c r="I12" s="3">
        <v>800</v>
      </c>
      <c r="J12" s="4">
        <v>0.1</v>
      </c>
      <c r="K12" t="s">
        <v>29</v>
      </c>
      <c r="L12">
        <f>SalesTable[[#This Row],[Unit_Price]]*SalesTable[[#This Row],[Quantity]]</f>
        <v>3200</v>
      </c>
      <c r="M12">
        <f>SalesTable[[#This Row],[Total sales]]*(1-SalesTable[[#This Row],[Discount]])</f>
        <v>2880</v>
      </c>
      <c r="N12" t="str">
        <f>IF(Sales_Data!M12&gt;50000,"high value","normal value")</f>
        <v>normal value</v>
      </c>
    </row>
    <row r="13" spans="1:14" x14ac:dyDescent="0.3">
      <c r="A13" t="s">
        <v>49</v>
      </c>
      <c r="B13" s="2">
        <v>46054</v>
      </c>
      <c r="C13" t="s">
        <v>50</v>
      </c>
      <c r="D13" t="s">
        <v>51</v>
      </c>
      <c r="E13" t="s">
        <v>14</v>
      </c>
      <c r="F13" t="s">
        <v>25</v>
      </c>
      <c r="G13" t="s">
        <v>20</v>
      </c>
      <c r="H13">
        <v>5</v>
      </c>
      <c r="I13" s="3">
        <v>1500</v>
      </c>
      <c r="J13" s="4">
        <v>0.05</v>
      </c>
      <c r="K13" t="s">
        <v>29</v>
      </c>
      <c r="L13">
        <f>SalesTable[[#This Row],[Unit_Price]]*SalesTable[[#This Row],[Quantity]]</f>
        <v>7500</v>
      </c>
      <c r="M13">
        <f>SalesTable[[#This Row],[Total sales]]*(1-SalesTable[[#This Row],[Discount]])</f>
        <v>7125</v>
      </c>
      <c r="N13" t="str">
        <f>IF(Sales_Data!M13&gt;50000,"high value","normal value")</f>
        <v>normal value</v>
      </c>
    </row>
    <row r="14" spans="1:14" x14ac:dyDescent="0.3">
      <c r="A14" t="s">
        <v>52</v>
      </c>
      <c r="B14" s="2">
        <v>46040</v>
      </c>
      <c r="C14" t="s">
        <v>53</v>
      </c>
      <c r="D14" t="s">
        <v>19</v>
      </c>
      <c r="E14" t="s">
        <v>14</v>
      </c>
      <c r="F14" t="s">
        <v>41</v>
      </c>
      <c r="G14" t="s">
        <v>16</v>
      </c>
      <c r="H14">
        <v>6</v>
      </c>
      <c r="I14" s="3">
        <v>3500</v>
      </c>
      <c r="J14" s="4">
        <v>0.05</v>
      </c>
      <c r="K14" t="s">
        <v>17</v>
      </c>
      <c r="L14">
        <f>SalesTable[[#This Row],[Unit_Price]]*SalesTable[[#This Row],[Quantity]]</f>
        <v>21000</v>
      </c>
      <c r="M14">
        <f>SalesTable[[#This Row],[Total sales]]*(1-SalesTable[[#This Row],[Discount]])</f>
        <v>19950</v>
      </c>
      <c r="N14" t="str">
        <f>IF(Sales_Data!M14&gt;50000,"high value","normal value")</f>
        <v>normal value</v>
      </c>
    </row>
    <row r="15" spans="1:14" x14ac:dyDescent="0.3">
      <c r="A15" t="s">
        <v>54</v>
      </c>
      <c r="B15" s="2">
        <v>46110</v>
      </c>
      <c r="C15" t="s">
        <v>55</v>
      </c>
      <c r="D15" t="s">
        <v>13</v>
      </c>
      <c r="E15" t="s">
        <v>14</v>
      </c>
      <c r="F15" t="s">
        <v>56</v>
      </c>
      <c r="G15" t="s">
        <v>46</v>
      </c>
      <c r="H15">
        <v>3</v>
      </c>
      <c r="I15" s="3">
        <v>800</v>
      </c>
      <c r="J15" s="4">
        <v>0.05</v>
      </c>
      <c r="K15" t="s">
        <v>29</v>
      </c>
      <c r="L15">
        <f>SalesTable[[#This Row],[Unit_Price]]*SalesTable[[#This Row],[Quantity]]</f>
        <v>2400</v>
      </c>
      <c r="M15">
        <f>SalesTable[[#This Row],[Total sales]]*(1-SalesTable[[#This Row],[Discount]])</f>
        <v>2280</v>
      </c>
      <c r="N15" t="str">
        <f>IF(Sales_Data!M15&gt;50000,"high value","normal value")</f>
        <v>normal value</v>
      </c>
    </row>
    <row r="16" spans="1:14" x14ac:dyDescent="0.3">
      <c r="A16" t="s">
        <v>57</v>
      </c>
      <c r="B16" s="2">
        <v>46110</v>
      </c>
      <c r="C16" t="s">
        <v>50</v>
      </c>
      <c r="D16" t="s">
        <v>58</v>
      </c>
      <c r="E16" t="s">
        <v>24</v>
      </c>
      <c r="F16" t="s">
        <v>56</v>
      </c>
      <c r="G16" t="s">
        <v>20</v>
      </c>
      <c r="H16">
        <v>5</v>
      </c>
      <c r="I16" s="3">
        <v>6500</v>
      </c>
      <c r="J16" s="4">
        <v>0</v>
      </c>
      <c r="K16" t="s">
        <v>38</v>
      </c>
      <c r="L16">
        <f>SalesTable[[#This Row],[Unit_Price]]*SalesTable[[#This Row],[Quantity]]</f>
        <v>32500</v>
      </c>
      <c r="M16">
        <f>SalesTable[[#This Row],[Total sales]]*(1-SalesTable[[#This Row],[Discount]])</f>
        <v>32500</v>
      </c>
      <c r="N16" t="str">
        <f>IF(Sales_Data!M16&gt;50000,"high value","normal value")</f>
        <v>normal value</v>
      </c>
    </row>
    <row r="17" spans="1:14" x14ac:dyDescent="0.3">
      <c r="A17" t="s">
        <v>59</v>
      </c>
      <c r="B17" s="2">
        <v>46078</v>
      </c>
      <c r="C17" t="s">
        <v>60</v>
      </c>
      <c r="D17" t="s">
        <v>45</v>
      </c>
      <c r="E17" t="s">
        <v>24</v>
      </c>
      <c r="F17" t="s">
        <v>41</v>
      </c>
      <c r="G17" t="s">
        <v>16</v>
      </c>
      <c r="H17">
        <v>2</v>
      </c>
      <c r="I17" s="3">
        <v>9500</v>
      </c>
      <c r="J17" s="4">
        <v>0.1</v>
      </c>
      <c r="K17" t="s">
        <v>38</v>
      </c>
      <c r="L17">
        <f>SalesTable[[#This Row],[Unit_Price]]*SalesTable[[#This Row],[Quantity]]</f>
        <v>19000</v>
      </c>
      <c r="M17">
        <f>SalesTable[[#This Row],[Total sales]]*(1-SalesTable[[#This Row],[Discount]])</f>
        <v>17100</v>
      </c>
      <c r="N17" t="str">
        <f>IF(Sales_Data!M17&gt;50000,"high value","normal value")</f>
        <v>normal value</v>
      </c>
    </row>
    <row r="18" spans="1:14" x14ac:dyDescent="0.3">
      <c r="A18" t="s">
        <v>61</v>
      </c>
      <c r="B18" s="2">
        <v>46104</v>
      </c>
      <c r="C18" t="s">
        <v>53</v>
      </c>
      <c r="D18" t="s">
        <v>51</v>
      </c>
      <c r="E18" t="s">
        <v>14</v>
      </c>
      <c r="F18" t="s">
        <v>15</v>
      </c>
      <c r="G18" t="s">
        <v>37</v>
      </c>
      <c r="H18">
        <v>2</v>
      </c>
      <c r="I18" s="3">
        <v>1500</v>
      </c>
      <c r="J18" s="4">
        <v>0.1</v>
      </c>
      <c r="K18" t="s">
        <v>38</v>
      </c>
      <c r="L18">
        <f>SalesTable[[#This Row],[Unit_Price]]*SalesTable[[#This Row],[Quantity]]</f>
        <v>3000</v>
      </c>
      <c r="M18">
        <f>SalesTable[[#This Row],[Total sales]]*(1-SalesTable[[#This Row],[Discount]])</f>
        <v>2700</v>
      </c>
      <c r="N18" t="str">
        <f>IF(Sales_Data!M18&gt;50000,"high value","normal value")</f>
        <v>normal value</v>
      </c>
    </row>
    <row r="19" spans="1:14" x14ac:dyDescent="0.3">
      <c r="A19" t="s">
        <v>62</v>
      </c>
      <c r="B19" s="2">
        <v>46085</v>
      </c>
      <c r="C19" t="s">
        <v>63</v>
      </c>
      <c r="D19" t="s">
        <v>51</v>
      </c>
      <c r="E19" t="s">
        <v>14</v>
      </c>
      <c r="F19" t="s">
        <v>56</v>
      </c>
      <c r="G19" t="s">
        <v>42</v>
      </c>
      <c r="H19">
        <v>1</v>
      </c>
      <c r="I19" s="3">
        <v>1500</v>
      </c>
      <c r="J19" s="4">
        <v>0.1</v>
      </c>
      <c r="K19" t="s">
        <v>38</v>
      </c>
      <c r="L19">
        <f>SalesTable[[#This Row],[Unit_Price]]*SalesTable[[#This Row],[Quantity]]</f>
        <v>1500</v>
      </c>
      <c r="M19">
        <f>SalesTable[[#This Row],[Total sales]]*(1-SalesTable[[#This Row],[Discount]])</f>
        <v>1350</v>
      </c>
      <c r="N19" t="str">
        <f>IF(Sales_Data!M19&gt;50000,"high value","normal value")</f>
        <v>normal value</v>
      </c>
    </row>
    <row r="20" spans="1:14" x14ac:dyDescent="0.3">
      <c r="A20" t="s">
        <v>64</v>
      </c>
      <c r="B20" s="2">
        <v>46095</v>
      </c>
      <c r="C20" t="s">
        <v>33</v>
      </c>
      <c r="D20" t="s">
        <v>23</v>
      </c>
      <c r="E20" t="s">
        <v>24</v>
      </c>
      <c r="F20" t="s">
        <v>56</v>
      </c>
      <c r="G20" t="s">
        <v>46</v>
      </c>
      <c r="H20">
        <v>1</v>
      </c>
      <c r="I20" s="3">
        <v>12000</v>
      </c>
      <c r="J20" s="4">
        <v>0.05</v>
      </c>
      <c r="K20" t="s">
        <v>17</v>
      </c>
      <c r="L20">
        <f>SalesTable[[#This Row],[Unit_Price]]*SalesTable[[#This Row],[Quantity]]</f>
        <v>12000</v>
      </c>
      <c r="M20">
        <f>SalesTable[[#This Row],[Total sales]]*(1-SalesTable[[#This Row],[Discount]])</f>
        <v>11400</v>
      </c>
      <c r="N20" t="str">
        <f>IF(Sales_Data!M20&gt;50000,"high value","normal value")</f>
        <v>normal value</v>
      </c>
    </row>
    <row r="21" spans="1:14" x14ac:dyDescent="0.3">
      <c r="A21" t="s">
        <v>65</v>
      </c>
      <c r="B21" s="2">
        <v>46093</v>
      </c>
      <c r="C21" t="s">
        <v>60</v>
      </c>
      <c r="D21" t="s">
        <v>51</v>
      </c>
      <c r="E21" t="s">
        <v>14</v>
      </c>
      <c r="F21" t="s">
        <v>25</v>
      </c>
      <c r="G21" t="s">
        <v>20</v>
      </c>
      <c r="H21">
        <v>3</v>
      </c>
      <c r="I21" s="3">
        <v>1500</v>
      </c>
      <c r="J21" s="4">
        <v>0.15</v>
      </c>
      <c r="K21" t="s">
        <v>29</v>
      </c>
      <c r="L21">
        <f>SalesTable[[#This Row],[Unit_Price]]*SalesTable[[#This Row],[Quantity]]</f>
        <v>4500</v>
      </c>
      <c r="M21">
        <f>SalesTable[[#This Row],[Total sales]]*(1-SalesTable[[#This Row],[Discount]])</f>
        <v>3825</v>
      </c>
      <c r="N21" t="str">
        <f>IF(Sales_Data!M21&gt;50000,"high value","normal value")</f>
        <v>normal value</v>
      </c>
    </row>
    <row r="22" spans="1:14" x14ac:dyDescent="0.3">
      <c r="A22" t="s">
        <v>66</v>
      </c>
      <c r="B22" s="2">
        <v>46074</v>
      </c>
      <c r="C22" t="s">
        <v>48</v>
      </c>
      <c r="D22" t="s">
        <v>23</v>
      </c>
      <c r="E22" t="s">
        <v>24</v>
      </c>
      <c r="F22" t="s">
        <v>25</v>
      </c>
      <c r="G22" t="s">
        <v>46</v>
      </c>
      <c r="H22">
        <v>4</v>
      </c>
      <c r="I22" s="3">
        <v>12000</v>
      </c>
      <c r="J22" s="4">
        <v>0.1</v>
      </c>
      <c r="K22" t="s">
        <v>29</v>
      </c>
      <c r="L22">
        <f>SalesTable[[#This Row],[Unit_Price]]*SalesTable[[#This Row],[Quantity]]</f>
        <v>48000</v>
      </c>
      <c r="M22">
        <f>SalesTable[[#This Row],[Total sales]]*(1-SalesTable[[#This Row],[Discount]])</f>
        <v>43200</v>
      </c>
      <c r="N22" t="str">
        <f>IF(Sales_Data!M22&gt;50000,"high value","normal value")</f>
        <v>normal value</v>
      </c>
    </row>
    <row r="23" spans="1:14" x14ac:dyDescent="0.3">
      <c r="A23" t="s">
        <v>67</v>
      </c>
      <c r="B23" s="2">
        <v>46031</v>
      </c>
      <c r="C23" t="s">
        <v>35</v>
      </c>
      <c r="D23" t="s">
        <v>13</v>
      </c>
      <c r="E23" t="s">
        <v>14</v>
      </c>
      <c r="F23" t="s">
        <v>56</v>
      </c>
      <c r="G23" t="s">
        <v>20</v>
      </c>
      <c r="H23">
        <v>4</v>
      </c>
      <c r="I23" s="3">
        <v>800</v>
      </c>
      <c r="J23" s="4">
        <v>0.05</v>
      </c>
      <c r="K23" t="s">
        <v>26</v>
      </c>
      <c r="L23">
        <f>SalesTable[[#This Row],[Unit_Price]]*SalesTable[[#This Row],[Quantity]]</f>
        <v>3200</v>
      </c>
      <c r="M23">
        <f>SalesTable[[#This Row],[Total sales]]*(1-SalesTable[[#This Row],[Discount]])</f>
        <v>3040</v>
      </c>
      <c r="N23" t="str">
        <f>IF(Sales_Data!M23&gt;50000,"high value","normal value")</f>
        <v>normal value</v>
      </c>
    </row>
    <row r="24" spans="1:14" x14ac:dyDescent="0.3">
      <c r="A24" t="s">
        <v>68</v>
      </c>
      <c r="B24" s="2">
        <v>46103</v>
      </c>
      <c r="C24" t="s">
        <v>63</v>
      </c>
      <c r="D24" t="s">
        <v>23</v>
      </c>
      <c r="E24" t="s">
        <v>24</v>
      </c>
      <c r="F24" t="s">
        <v>15</v>
      </c>
      <c r="G24" t="s">
        <v>16</v>
      </c>
      <c r="H24">
        <v>1</v>
      </c>
      <c r="I24" s="3">
        <v>12000</v>
      </c>
      <c r="J24" s="4">
        <v>0</v>
      </c>
      <c r="K24" t="s">
        <v>17</v>
      </c>
      <c r="L24">
        <f>SalesTable[[#This Row],[Unit_Price]]*SalesTable[[#This Row],[Quantity]]</f>
        <v>12000</v>
      </c>
      <c r="M24">
        <f>SalesTable[[#This Row],[Total sales]]*(1-SalesTable[[#This Row],[Discount]])</f>
        <v>12000</v>
      </c>
      <c r="N24" t="str">
        <f>IF(Sales_Data!M24&gt;50000,"high value","normal value")</f>
        <v>normal value</v>
      </c>
    </row>
    <row r="25" spans="1:14" x14ac:dyDescent="0.3">
      <c r="A25" t="s">
        <v>69</v>
      </c>
      <c r="B25" s="2">
        <v>46058</v>
      </c>
      <c r="C25" t="s">
        <v>48</v>
      </c>
      <c r="D25" t="s">
        <v>45</v>
      </c>
      <c r="E25" t="s">
        <v>24</v>
      </c>
      <c r="F25" t="s">
        <v>41</v>
      </c>
      <c r="G25" t="s">
        <v>37</v>
      </c>
      <c r="H25">
        <v>2</v>
      </c>
      <c r="I25" s="3">
        <v>9500</v>
      </c>
      <c r="J25" s="4">
        <v>0.05</v>
      </c>
      <c r="K25" t="s">
        <v>26</v>
      </c>
      <c r="L25">
        <f>SalesTable[[#This Row],[Unit_Price]]*SalesTable[[#This Row],[Quantity]]</f>
        <v>19000</v>
      </c>
      <c r="M25">
        <f>SalesTable[[#This Row],[Total sales]]*(1-SalesTable[[#This Row],[Discount]])</f>
        <v>18050</v>
      </c>
      <c r="N25" t="str">
        <f>IF(Sales_Data!M25&gt;50000,"high value","normal value")</f>
        <v>normal value</v>
      </c>
    </row>
    <row r="26" spans="1:14" x14ac:dyDescent="0.3">
      <c r="A26" t="s">
        <v>70</v>
      </c>
      <c r="B26" s="2">
        <v>46075</v>
      </c>
      <c r="C26" t="s">
        <v>12</v>
      </c>
      <c r="D26" t="s">
        <v>58</v>
      </c>
      <c r="E26" t="s">
        <v>24</v>
      </c>
      <c r="F26" t="s">
        <v>56</v>
      </c>
      <c r="G26" t="s">
        <v>16</v>
      </c>
      <c r="H26">
        <v>4</v>
      </c>
      <c r="I26" s="3">
        <v>6500</v>
      </c>
      <c r="J26" s="4">
        <v>0.15</v>
      </c>
      <c r="K26" t="s">
        <v>29</v>
      </c>
      <c r="L26">
        <f>SalesTable[[#This Row],[Unit_Price]]*SalesTable[[#This Row],[Quantity]]</f>
        <v>26000</v>
      </c>
      <c r="M26">
        <f>SalesTable[[#This Row],[Total sales]]*(1-SalesTable[[#This Row],[Discount]])</f>
        <v>22100</v>
      </c>
      <c r="N26" t="str">
        <f>IF(Sales_Data!M26&gt;50000,"high value","normal value")</f>
        <v>normal value</v>
      </c>
    </row>
    <row r="27" spans="1:14" x14ac:dyDescent="0.3">
      <c r="A27" t="s">
        <v>71</v>
      </c>
      <c r="B27" s="2">
        <v>46082</v>
      </c>
      <c r="C27" t="s">
        <v>72</v>
      </c>
      <c r="D27" t="s">
        <v>45</v>
      </c>
      <c r="E27" t="s">
        <v>24</v>
      </c>
      <c r="F27" t="s">
        <v>56</v>
      </c>
      <c r="G27" t="s">
        <v>16</v>
      </c>
      <c r="H27">
        <v>7</v>
      </c>
      <c r="I27" s="3">
        <v>9500</v>
      </c>
      <c r="J27" s="4">
        <v>0.15</v>
      </c>
      <c r="K27" t="s">
        <v>17</v>
      </c>
      <c r="L27">
        <f>SalesTable[[#This Row],[Unit_Price]]*SalesTable[[#This Row],[Quantity]]</f>
        <v>66500</v>
      </c>
      <c r="M27">
        <f>SalesTable[[#This Row],[Total sales]]*(1-SalesTable[[#This Row],[Discount]])</f>
        <v>56525</v>
      </c>
      <c r="N27" t="str">
        <f>IF(Sales_Data!M27&gt;50000,"high value","normal value")</f>
        <v>high value</v>
      </c>
    </row>
    <row r="28" spans="1:14" x14ac:dyDescent="0.3">
      <c r="A28" t="s">
        <v>73</v>
      </c>
      <c r="B28" s="2">
        <v>46054</v>
      </c>
      <c r="C28" t="s">
        <v>12</v>
      </c>
      <c r="D28" t="s">
        <v>19</v>
      </c>
      <c r="E28" t="s">
        <v>14</v>
      </c>
      <c r="F28" t="s">
        <v>15</v>
      </c>
      <c r="G28" t="s">
        <v>20</v>
      </c>
      <c r="H28">
        <v>6</v>
      </c>
      <c r="I28" s="3">
        <v>3500</v>
      </c>
      <c r="J28" s="4">
        <v>0</v>
      </c>
      <c r="K28" t="s">
        <v>29</v>
      </c>
      <c r="L28">
        <f>SalesTable[[#This Row],[Unit_Price]]*SalesTable[[#This Row],[Quantity]]</f>
        <v>21000</v>
      </c>
      <c r="M28">
        <f>SalesTable[[#This Row],[Total sales]]*(1-SalesTable[[#This Row],[Discount]])</f>
        <v>21000</v>
      </c>
      <c r="N28" t="str">
        <f>IF(Sales_Data!M28&gt;50000,"high value","normal value")</f>
        <v>normal value</v>
      </c>
    </row>
    <row r="29" spans="1:14" x14ac:dyDescent="0.3">
      <c r="A29" t="s">
        <v>74</v>
      </c>
      <c r="B29" s="2">
        <v>46058</v>
      </c>
      <c r="C29" t="s">
        <v>40</v>
      </c>
      <c r="D29" t="s">
        <v>51</v>
      </c>
      <c r="E29" t="s">
        <v>14</v>
      </c>
      <c r="F29" t="s">
        <v>15</v>
      </c>
      <c r="G29" t="s">
        <v>16</v>
      </c>
      <c r="H29">
        <v>7</v>
      </c>
      <c r="I29" s="3">
        <v>1500</v>
      </c>
      <c r="J29" s="4">
        <v>0.05</v>
      </c>
      <c r="K29" t="s">
        <v>29</v>
      </c>
      <c r="L29">
        <f>SalesTable[[#This Row],[Unit_Price]]*SalesTable[[#This Row],[Quantity]]</f>
        <v>10500</v>
      </c>
      <c r="M29">
        <f>SalesTable[[#This Row],[Total sales]]*(1-SalesTable[[#This Row],[Discount]])</f>
        <v>9975</v>
      </c>
      <c r="N29" t="str">
        <f>IF(Sales_Data!M29&gt;50000,"high value","normal value")</f>
        <v>normal value</v>
      </c>
    </row>
    <row r="30" spans="1:14" x14ac:dyDescent="0.3">
      <c r="A30" t="s">
        <v>75</v>
      </c>
      <c r="B30" s="2">
        <v>46034</v>
      </c>
      <c r="C30" t="s">
        <v>76</v>
      </c>
      <c r="D30" t="s">
        <v>13</v>
      </c>
      <c r="E30" t="s">
        <v>14</v>
      </c>
      <c r="F30" t="s">
        <v>15</v>
      </c>
      <c r="G30" t="s">
        <v>37</v>
      </c>
      <c r="H30">
        <v>1</v>
      </c>
      <c r="I30" s="3">
        <v>800</v>
      </c>
      <c r="J30" s="4">
        <v>0</v>
      </c>
      <c r="K30" t="s">
        <v>29</v>
      </c>
      <c r="L30">
        <f>SalesTable[[#This Row],[Unit_Price]]*SalesTable[[#This Row],[Quantity]]</f>
        <v>800</v>
      </c>
      <c r="M30">
        <f>SalesTable[[#This Row],[Total sales]]*(1-SalesTable[[#This Row],[Discount]])</f>
        <v>800</v>
      </c>
      <c r="N30" t="str">
        <f>IF(Sales_Data!M30&gt;50000,"high value","normal value")</f>
        <v>normal value</v>
      </c>
    </row>
    <row r="31" spans="1:14" x14ac:dyDescent="0.3">
      <c r="A31" t="s">
        <v>77</v>
      </c>
      <c r="B31" s="2">
        <v>46074</v>
      </c>
      <c r="C31" t="s">
        <v>76</v>
      </c>
      <c r="D31" t="s">
        <v>58</v>
      </c>
      <c r="E31" t="s">
        <v>24</v>
      </c>
      <c r="F31" t="s">
        <v>56</v>
      </c>
      <c r="G31" t="s">
        <v>37</v>
      </c>
      <c r="H31">
        <v>8</v>
      </c>
      <c r="I31" s="3">
        <v>6500</v>
      </c>
      <c r="J31" s="4">
        <v>0.05</v>
      </c>
      <c r="K31" t="s">
        <v>29</v>
      </c>
      <c r="L31">
        <f>SalesTable[[#This Row],[Unit_Price]]*SalesTable[[#This Row],[Quantity]]</f>
        <v>52000</v>
      </c>
      <c r="M31">
        <f>SalesTable[[#This Row],[Total sales]]*(1-SalesTable[[#This Row],[Discount]])</f>
        <v>49400</v>
      </c>
      <c r="N31" t="str">
        <f>IF(Sales_Data!M31&gt;50000,"high value","normal value")</f>
        <v>normal value</v>
      </c>
    </row>
    <row r="32" spans="1:14" x14ac:dyDescent="0.3">
      <c r="A32" t="s">
        <v>78</v>
      </c>
      <c r="B32" s="2">
        <v>46081</v>
      </c>
      <c r="C32" t="s">
        <v>31</v>
      </c>
      <c r="D32" t="s">
        <v>79</v>
      </c>
      <c r="E32" t="s">
        <v>24</v>
      </c>
      <c r="F32" t="s">
        <v>41</v>
      </c>
      <c r="G32" t="s">
        <v>20</v>
      </c>
      <c r="H32">
        <v>7</v>
      </c>
      <c r="I32" s="3">
        <v>55000</v>
      </c>
      <c r="J32" s="4">
        <v>0.1</v>
      </c>
      <c r="K32" t="s">
        <v>29</v>
      </c>
      <c r="L32">
        <f>SalesTable[[#This Row],[Unit_Price]]*SalesTable[[#This Row],[Quantity]]</f>
        <v>385000</v>
      </c>
      <c r="M32">
        <f>SalesTable[[#This Row],[Total sales]]*(1-SalesTable[[#This Row],[Discount]])</f>
        <v>346500</v>
      </c>
      <c r="N32" t="str">
        <f>IF(Sales_Data!M32&gt;50000,"high value","normal value")</f>
        <v>high value</v>
      </c>
    </row>
    <row r="33" spans="1:14" x14ac:dyDescent="0.3">
      <c r="A33" t="s">
        <v>80</v>
      </c>
      <c r="B33" s="2">
        <v>46050</v>
      </c>
      <c r="C33" t="s">
        <v>63</v>
      </c>
      <c r="D33" t="s">
        <v>51</v>
      </c>
      <c r="E33" t="s">
        <v>14</v>
      </c>
      <c r="F33" t="s">
        <v>56</v>
      </c>
      <c r="G33" t="s">
        <v>42</v>
      </c>
      <c r="H33">
        <v>4</v>
      </c>
      <c r="I33" s="3">
        <v>1500</v>
      </c>
      <c r="J33" s="4">
        <v>0.1</v>
      </c>
      <c r="K33" t="s">
        <v>17</v>
      </c>
      <c r="L33">
        <f>SalesTable[[#This Row],[Unit_Price]]*SalesTable[[#This Row],[Quantity]]</f>
        <v>6000</v>
      </c>
      <c r="M33">
        <f>SalesTable[[#This Row],[Total sales]]*(1-SalesTable[[#This Row],[Discount]])</f>
        <v>5400</v>
      </c>
      <c r="N33" t="str">
        <f>IF(Sales_Data!M33&gt;50000,"high value","normal value")</f>
        <v>normal value</v>
      </c>
    </row>
    <row r="34" spans="1:14" x14ac:dyDescent="0.3">
      <c r="A34" t="s">
        <v>81</v>
      </c>
      <c r="B34" s="2">
        <v>46030</v>
      </c>
      <c r="C34" t="s">
        <v>53</v>
      </c>
      <c r="D34" t="s">
        <v>79</v>
      </c>
      <c r="E34" t="s">
        <v>24</v>
      </c>
      <c r="F34" t="s">
        <v>56</v>
      </c>
      <c r="G34" t="s">
        <v>37</v>
      </c>
      <c r="H34">
        <v>8</v>
      </c>
      <c r="I34" s="3">
        <v>55000</v>
      </c>
      <c r="J34" s="4">
        <v>0.05</v>
      </c>
      <c r="K34" t="s">
        <v>17</v>
      </c>
      <c r="L34">
        <f>SalesTable[[#This Row],[Unit_Price]]*SalesTable[[#This Row],[Quantity]]</f>
        <v>440000</v>
      </c>
      <c r="M34">
        <f>SalesTable[[#This Row],[Total sales]]*(1-SalesTable[[#This Row],[Discount]])</f>
        <v>418000</v>
      </c>
      <c r="N34" t="str">
        <f>IF(Sales_Data!M34&gt;50000,"high value","normal value")</f>
        <v>high value</v>
      </c>
    </row>
    <row r="35" spans="1:14" x14ac:dyDescent="0.3">
      <c r="A35" t="s">
        <v>82</v>
      </c>
      <c r="B35" s="2">
        <v>46038</v>
      </c>
      <c r="C35" t="s">
        <v>76</v>
      </c>
      <c r="D35" t="s">
        <v>13</v>
      </c>
      <c r="E35" t="s">
        <v>14</v>
      </c>
      <c r="F35" t="s">
        <v>15</v>
      </c>
      <c r="G35" t="s">
        <v>20</v>
      </c>
      <c r="H35">
        <v>4</v>
      </c>
      <c r="I35" s="3">
        <v>800</v>
      </c>
      <c r="J35" s="4">
        <v>0.15</v>
      </c>
      <c r="K35" t="s">
        <v>17</v>
      </c>
      <c r="L35">
        <f>SalesTable[[#This Row],[Unit_Price]]*SalesTable[[#This Row],[Quantity]]</f>
        <v>3200</v>
      </c>
      <c r="M35">
        <f>SalesTable[[#This Row],[Total sales]]*(1-SalesTable[[#This Row],[Discount]])</f>
        <v>2720</v>
      </c>
      <c r="N35" t="str">
        <f>IF(Sales_Data!M35&gt;50000,"high value","normal value")</f>
        <v>normal value</v>
      </c>
    </row>
    <row r="36" spans="1:14" x14ac:dyDescent="0.3">
      <c r="A36" t="s">
        <v>83</v>
      </c>
      <c r="B36" s="2">
        <v>46056</v>
      </c>
      <c r="C36" t="s">
        <v>12</v>
      </c>
      <c r="D36" t="s">
        <v>13</v>
      </c>
      <c r="E36" t="s">
        <v>14</v>
      </c>
      <c r="F36" t="s">
        <v>25</v>
      </c>
      <c r="G36" t="s">
        <v>37</v>
      </c>
      <c r="H36">
        <v>7</v>
      </c>
      <c r="I36" s="3">
        <v>800</v>
      </c>
      <c r="J36" s="4">
        <v>0.1</v>
      </c>
      <c r="K36" t="s">
        <v>38</v>
      </c>
      <c r="L36">
        <f>SalesTable[[#This Row],[Unit_Price]]*SalesTable[[#This Row],[Quantity]]</f>
        <v>5600</v>
      </c>
      <c r="M36">
        <f>SalesTable[[#This Row],[Total sales]]*(1-SalesTable[[#This Row],[Discount]])</f>
        <v>5040</v>
      </c>
      <c r="N36" t="str">
        <f>IF(Sales_Data!M36&gt;50000,"high value","normal value")</f>
        <v>normal value</v>
      </c>
    </row>
    <row r="37" spans="1:14" x14ac:dyDescent="0.3">
      <c r="A37" t="s">
        <v>84</v>
      </c>
      <c r="B37" s="2">
        <v>46081</v>
      </c>
      <c r="C37" t="s">
        <v>35</v>
      </c>
      <c r="D37" t="s">
        <v>19</v>
      </c>
      <c r="E37" t="s">
        <v>14</v>
      </c>
      <c r="F37" t="s">
        <v>56</v>
      </c>
      <c r="G37" t="s">
        <v>16</v>
      </c>
      <c r="H37">
        <v>3</v>
      </c>
      <c r="I37" s="3">
        <v>3500</v>
      </c>
      <c r="J37" s="4">
        <v>0.1</v>
      </c>
      <c r="K37" t="s">
        <v>29</v>
      </c>
      <c r="L37">
        <f>SalesTable[[#This Row],[Unit_Price]]*SalesTable[[#This Row],[Quantity]]</f>
        <v>10500</v>
      </c>
      <c r="M37">
        <f>SalesTable[[#This Row],[Total sales]]*(1-SalesTable[[#This Row],[Discount]])</f>
        <v>9450</v>
      </c>
      <c r="N37" t="str">
        <f>IF(Sales_Data!M37&gt;50000,"high value","normal value")</f>
        <v>normal value</v>
      </c>
    </row>
    <row r="38" spans="1:14" x14ac:dyDescent="0.3">
      <c r="A38" t="s">
        <v>85</v>
      </c>
      <c r="B38" s="2">
        <v>46087</v>
      </c>
      <c r="C38" t="s">
        <v>31</v>
      </c>
      <c r="D38" t="s">
        <v>13</v>
      </c>
      <c r="E38" t="s">
        <v>14</v>
      </c>
      <c r="F38" t="s">
        <v>15</v>
      </c>
      <c r="G38" t="s">
        <v>42</v>
      </c>
      <c r="H38">
        <v>2</v>
      </c>
      <c r="I38" s="3">
        <v>800</v>
      </c>
      <c r="J38" s="4">
        <v>0.05</v>
      </c>
      <c r="K38" t="s">
        <v>17</v>
      </c>
      <c r="L38">
        <f>SalesTable[[#This Row],[Unit_Price]]*SalesTable[[#This Row],[Quantity]]</f>
        <v>1600</v>
      </c>
      <c r="M38">
        <f>SalesTable[[#This Row],[Total sales]]*(1-SalesTable[[#This Row],[Discount]])</f>
        <v>1520</v>
      </c>
      <c r="N38" t="str">
        <f>IF(Sales_Data!M38&gt;50000,"high value","normal value")</f>
        <v>normal value</v>
      </c>
    </row>
    <row r="39" spans="1:14" x14ac:dyDescent="0.3">
      <c r="A39" t="s">
        <v>86</v>
      </c>
      <c r="B39" s="2">
        <v>46043</v>
      </c>
      <c r="C39" t="s">
        <v>40</v>
      </c>
      <c r="D39" t="s">
        <v>23</v>
      </c>
      <c r="E39" t="s">
        <v>24</v>
      </c>
      <c r="F39" t="s">
        <v>25</v>
      </c>
      <c r="G39" t="s">
        <v>20</v>
      </c>
      <c r="H39">
        <v>6</v>
      </c>
      <c r="I39" s="3">
        <v>12000</v>
      </c>
      <c r="J39" s="4">
        <v>0.1</v>
      </c>
      <c r="K39" t="s">
        <v>17</v>
      </c>
      <c r="L39">
        <f>SalesTable[[#This Row],[Unit_Price]]*SalesTable[[#This Row],[Quantity]]</f>
        <v>72000</v>
      </c>
      <c r="M39">
        <f>SalesTable[[#This Row],[Total sales]]*(1-SalesTable[[#This Row],[Discount]])</f>
        <v>64800</v>
      </c>
      <c r="N39" t="str">
        <f>IF(Sales_Data!M39&gt;50000,"high value","normal value")</f>
        <v>high value</v>
      </c>
    </row>
    <row r="40" spans="1:14" x14ac:dyDescent="0.3">
      <c r="A40" t="s">
        <v>87</v>
      </c>
      <c r="B40" s="2">
        <v>46056</v>
      </c>
      <c r="C40" t="s">
        <v>33</v>
      </c>
      <c r="D40" t="s">
        <v>36</v>
      </c>
      <c r="E40" t="s">
        <v>14</v>
      </c>
      <c r="F40" t="s">
        <v>56</v>
      </c>
      <c r="G40" t="s">
        <v>20</v>
      </c>
      <c r="H40">
        <v>2</v>
      </c>
      <c r="I40" s="3">
        <v>2200</v>
      </c>
      <c r="J40" s="4">
        <v>0.05</v>
      </c>
      <c r="K40" t="s">
        <v>26</v>
      </c>
      <c r="L40">
        <f>SalesTable[[#This Row],[Unit_Price]]*SalesTable[[#This Row],[Quantity]]</f>
        <v>4400</v>
      </c>
      <c r="M40">
        <f>SalesTable[[#This Row],[Total sales]]*(1-SalesTable[[#This Row],[Discount]])</f>
        <v>4180</v>
      </c>
      <c r="N40" t="str">
        <f>IF(Sales_Data!M40&gt;50000,"high value","normal value")</f>
        <v>normal value</v>
      </c>
    </row>
    <row r="41" spans="1:14" x14ac:dyDescent="0.3">
      <c r="A41" t="s">
        <v>88</v>
      </c>
      <c r="B41" s="2">
        <v>46066</v>
      </c>
      <c r="C41" t="s">
        <v>12</v>
      </c>
      <c r="D41" t="s">
        <v>36</v>
      </c>
      <c r="E41" t="s">
        <v>14</v>
      </c>
      <c r="F41" t="s">
        <v>25</v>
      </c>
      <c r="G41" t="s">
        <v>20</v>
      </c>
      <c r="H41">
        <v>5</v>
      </c>
      <c r="I41" s="3">
        <v>2200</v>
      </c>
      <c r="J41" s="4">
        <v>0.05</v>
      </c>
      <c r="K41" t="s">
        <v>29</v>
      </c>
      <c r="L41">
        <f>SalesTable[[#This Row],[Unit_Price]]*SalesTable[[#This Row],[Quantity]]</f>
        <v>11000</v>
      </c>
      <c r="M41">
        <f>SalesTable[[#This Row],[Total sales]]*(1-SalesTable[[#This Row],[Discount]])</f>
        <v>10450</v>
      </c>
      <c r="N41" t="str">
        <f>IF(Sales_Data!M41&gt;50000,"high value","normal value")</f>
        <v>normal value</v>
      </c>
    </row>
    <row r="42" spans="1:14" x14ac:dyDescent="0.3">
      <c r="A42" t="s">
        <v>89</v>
      </c>
      <c r="B42" s="2">
        <v>46104</v>
      </c>
      <c r="C42" t="s">
        <v>55</v>
      </c>
      <c r="D42" t="s">
        <v>36</v>
      </c>
      <c r="E42" t="s">
        <v>14</v>
      </c>
      <c r="F42" t="s">
        <v>25</v>
      </c>
      <c r="G42" t="s">
        <v>16</v>
      </c>
      <c r="H42">
        <v>1</v>
      </c>
      <c r="I42" s="3">
        <v>2200</v>
      </c>
      <c r="J42" s="4">
        <v>0</v>
      </c>
      <c r="K42" t="s">
        <v>17</v>
      </c>
      <c r="L42">
        <f>SalesTable[[#This Row],[Unit_Price]]*SalesTable[[#This Row],[Quantity]]</f>
        <v>2200</v>
      </c>
      <c r="M42">
        <f>SalesTable[[#This Row],[Total sales]]*(1-SalesTable[[#This Row],[Discount]])</f>
        <v>2200</v>
      </c>
      <c r="N42" t="str">
        <f>IF(Sales_Data!M42&gt;50000,"high value","normal value")</f>
        <v>normal value</v>
      </c>
    </row>
    <row r="43" spans="1:14" x14ac:dyDescent="0.3">
      <c r="A43" t="s">
        <v>90</v>
      </c>
      <c r="B43" s="2">
        <v>46043</v>
      </c>
      <c r="C43" t="s">
        <v>50</v>
      </c>
      <c r="D43" t="s">
        <v>45</v>
      </c>
      <c r="E43" t="s">
        <v>24</v>
      </c>
      <c r="F43" t="s">
        <v>41</v>
      </c>
      <c r="G43" t="s">
        <v>20</v>
      </c>
      <c r="H43">
        <v>3</v>
      </c>
      <c r="I43" s="3">
        <v>9500</v>
      </c>
      <c r="J43" s="4">
        <v>0.1</v>
      </c>
      <c r="K43" t="s">
        <v>29</v>
      </c>
      <c r="L43">
        <f>SalesTable[[#This Row],[Unit_Price]]*SalesTable[[#This Row],[Quantity]]</f>
        <v>28500</v>
      </c>
      <c r="M43">
        <f>SalesTable[[#This Row],[Total sales]]*(1-SalesTable[[#This Row],[Discount]])</f>
        <v>25650</v>
      </c>
      <c r="N43" t="str">
        <f>IF(Sales_Data!M43&gt;50000,"high value","normal value")</f>
        <v>normal value</v>
      </c>
    </row>
    <row r="44" spans="1:14" x14ac:dyDescent="0.3">
      <c r="A44" t="s">
        <v>91</v>
      </c>
      <c r="B44" s="2">
        <v>46111</v>
      </c>
      <c r="C44" t="s">
        <v>76</v>
      </c>
      <c r="D44" t="s">
        <v>79</v>
      </c>
      <c r="E44" t="s">
        <v>24</v>
      </c>
      <c r="F44" t="s">
        <v>15</v>
      </c>
      <c r="G44" t="s">
        <v>20</v>
      </c>
      <c r="H44">
        <v>2</v>
      </c>
      <c r="I44" s="3">
        <v>55000</v>
      </c>
      <c r="J44" s="4">
        <v>0</v>
      </c>
      <c r="K44" t="s">
        <v>17</v>
      </c>
      <c r="L44">
        <f>SalesTable[[#This Row],[Unit_Price]]*SalesTable[[#This Row],[Quantity]]</f>
        <v>110000</v>
      </c>
      <c r="M44">
        <f>SalesTable[[#This Row],[Total sales]]*(1-SalesTable[[#This Row],[Discount]])</f>
        <v>110000</v>
      </c>
      <c r="N44" t="str">
        <f>IF(Sales_Data!M44&gt;50000,"high value","normal value")</f>
        <v>high value</v>
      </c>
    </row>
    <row r="45" spans="1:14" x14ac:dyDescent="0.3">
      <c r="A45" t="s">
        <v>92</v>
      </c>
      <c r="B45" s="2">
        <v>46039</v>
      </c>
      <c r="C45" t="s">
        <v>63</v>
      </c>
      <c r="D45" t="s">
        <v>45</v>
      </c>
      <c r="E45" t="s">
        <v>24</v>
      </c>
      <c r="F45" t="s">
        <v>25</v>
      </c>
      <c r="G45" t="s">
        <v>42</v>
      </c>
      <c r="H45">
        <v>3</v>
      </c>
      <c r="I45" s="3">
        <v>9500</v>
      </c>
      <c r="J45" s="4">
        <v>0.15</v>
      </c>
      <c r="K45" t="s">
        <v>17</v>
      </c>
      <c r="L45">
        <f>SalesTable[[#This Row],[Unit_Price]]*SalesTable[[#This Row],[Quantity]]</f>
        <v>28500</v>
      </c>
      <c r="M45">
        <f>SalesTable[[#This Row],[Total sales]]*(1-SalesTable[[#This Row],[Discount]])</f>
        <v>24225</v>
      </c>
      <c r="N45" t="str">
        <f>IF(Sales_Data!M45&gt;50000,"high value","normal value")</f>
        <v>normal value</v>
      </c>
    </row>
    <row r="46" spans="1:14" x14ac:dyDescent="0.3">
      <c r="A46" t="s">
        <v>93</v>
      </c>
      <c r="B46" s="2">
        <v>46108</v>
      </c>
      <c r="C46" t="s">
        <v>33</v>
      </c>
      <c r="D46" t="s">
        <v>45</v>
      </c>
      <c r="E46" t="s">
        <v>24</v>
      </c>
      <c r="F46" t="s">
        <v>25</v>
      </c>
      <c r="G46" t="s">
        <v>20</v>
      </c>
      <c r="H46">
        <v>4</v>
      </c>
      <c r="I46" s="3">
        <v>9500</v>
      </c>
      <c r="J46" s="4">
        <v>0.05</v>
      </c>
      <c r="K46" t="s">
        <v>29</v>
      </c>
      <c r="L46">
        <f>SalesTable[[#This Row],[Unit_Price]]*SalesTable[[#This Row],[Quantity]]</f>
        <v>38000</v>
      </c>
      <c r="M46">
        <f>SalesTable[[#This Row],[Total sales]]*(1-SalesTable[[#This Row],[Discount]])</f>
        <v>36100</v>
      </c>
      <c r="N46" t="str">
        <f>IF(Sales_Data!M46&gt;50000,"high value","normal value")</f>
        <v>normal value</v>
      </c>
    </row>
    <row r="47" spans="1:14" x14ac:dyDescent="0.3">
      <c r="A47" t="s">
        <v>94</v>
      </c>
      <c r="B47" s="2">
        <v>46045</v>
      </c>
      <c r="C47" t="s">
        <v>76</v>
      </c>
      <c r="D47" t="s">
        <v>51</v>
      </c>
      <c r="E47" t="s">
        <v>14</v>
      </c>
      <c r="F47" t="s">
        <v>41</v>
      </c>
      <c r="G47" t="s">
        <v>16</v>
      </c>
      <c r="H47">
        <v>4</v>
      </c>
      <c r="I47" s="3">
        <v>1500</v>
      </c>
      <c r="J47" s="4">
        <v>0.05</v>
      </c>
      <c r="K47" t="s">
        <v>26</v>
      </c>
      <c r="L47">
        <f>SalesTable[[#This Row],[Unit_Price]]*SalesTable[[#This Row],[Quantity]]</f>
        <v>6000</v>
      </c>
      <c r="M47">
        <f>SalesTable[[#This Row],[Total sales]]*(1-SalesTable[[#This Row],[Discount]])</f>
        <v>5700</v>
      </c>
      <c r="N47" t="str">
        <f>IF(Sales_Data!M47&gt;50000,"high value","normal value")</f>
        <v>normal value</v>
      </c>
    </row>
    <row r="48" spans="1:14" x14ac:dyDescent="0.3">
      <c r="A48" t="s">
        <v>95</v>
      </c>
      <c r="B48" s="2">
        <v>46057</v>
      </c>
      <c r="C48" t="s">
        <v>60</v>
      </c>
      <c r="D48" t="s">
        <v>45</v>
      </c>
      <c r="E48" t="s">
        <v>24</v>
      </c>
      <c r="F48" t="s">
        <v>56</v>
      </c>
      <c r="G48" t="s">
        <v>46</v>
      </c>
      <c r="H48">
        <v>7</v>
      </c>
      <c r="I48" s="3">
        <v>9500</v>
      </c>
      <c r="J48" s="4">
        <v>0.05</v>
      </c>
      <c r="K48" t="s">
        <v>17</v>
      </c>
      <c r="L48">
        <f>SalesTable[[#This Row],[Unit_Price]]*SalesTable[[#This Row],[Quantity]]</f>
        <v>66500</v>
      </c>
      <c r="M48">
        <f>SalesTable[[#This Row],[Total sales]]*(1-SalesTable[[#This Row],[Discount]])</f>
        <v>63175</v>
      </c>
      <c r="N48" t="str">
        <f>IF(Sales_Data!M48&gt;50000,"high value","normal value")</f>
        <v>high value</v>
      </c>
    </row>
    <row r="49" spans="1:14" x14ac:dyDescent="0.3">
      <c r="A49" t="s">
        <v>96</v>
      </c>
      <c r="B49" s="2">
        <v>46081</v>
      </c>
      <c r="C49" t="s">
        <v>35</v>
      </c>
      <c r="D49" t="s">
        <v>58</v>
      </c>
      <c r="E49" t="s">
        <v>24</v>
      </c>
      <c r="F49" t="s">
        <v>25</v>
      </c>
      <c r="G49" t="s">
        <v>37</v>
      </c>
      <c r="H49">
        <v>4</v>
      </c>
      <c r="I49" s="3">
        <v>6500</v>
      </c>
      <c r="J49" s="4">
        <v>0.05</v>
      </c>
      <c r="K49" t="s">
        <v>26</v>
      </c>
      <c r="L49">
        <f>SalesTable[[#This Row],[Unit_Price]]*SalesTable[[#This Row],[Quantity]]</f>
        <v>26000</v>
      </c>
      <c r="M49">
        <f>SalesTable[[#This Row],[Total sales]]*(1-SalesTable[[#This Row],[Discount]])</f>
        <v>24700</v>
      </c>
      <c r="N49" t="str">
        <f>IF(Sales_Data!M49&gt;50000,"high value","normal value")</f>
        <v>normal value</v>
      </c>
    </row>
    <row r="50" spans="1:14" x14ac:dyDescent="0.3">
      <c r="A50" t="s">
        <v>97</v>
      </c>
      <c r="B50" s="2">
        <v>46065</v>
      </c>
      <c r="C50" t="s">
        <v>31</v>
      </c>
      <c r="D50" t="s">
        <v>79</v>
      </c>
      <c r="E50" t="s">
        <v>24</v>
      </c>
      <c r="F50" t="s">
        <v>56</v>
      </c>
      <c r="G50" t="s">
        <v>42</v>
      </c>
      <c r="H50">
        <v>4</v>
      </c>
      <c r="I50" s="3">
        <v>55000</v>
      </c>
      <c r="J50" s="4">
        <v>0.15</v>
      </c>
      <c r="K50" t="s">
        <v>38</v>
      </c>
      <c r="L50">
        <f>SalesTable[[#This Row],[Unit_Price]]*SalesTable[[#This Row],[Quantity]]</f>
        <v>220000</v>
      </c>
      <c r="M50">
        <f>SalesTable[[#This Row],[Total sales]]*(1-SalesTable[[#This Row],[Discount]])</f>
        <v>187000</v>
      </c>
      <c r="N50" t="str">
        <f>IF(Sales_Data!M50&gt;50000,"high value","normal value")</f>
        <v>high value</v>
      </c>
    </row>
    <row r="51" spans="1:14" x14ac:dyDescent="0.3">
      <c r="A51" t="s">
        <v>98</v>
      </c>
      <c r="B51" s="2">
        <v>46037</v>
      </c>
      <c r="C51" t="s">
        <v>76</v>
      </c>
      <c r="D51" t="s">
        <v>19</v>
      </c>
      <c r="E51" t="s">
        <v>14</v>
      </c>
      <c r="F51" t="s">
        <v>25</v>
      </c>
      <c r="G51" t="s">
        <v>37</v>
      </c>
      <c r="H51">
        <v>6</v>
      </c>
      <c r="I51" s="3">
        <v>3500</v>
      </c>
      <c r="J51" s="4">
        <v>0</v>
      </c>
      <c r="K51" t="s">
        <v>38</v>
      </c>
      <c r="L51">
        <f>SalesTable[[#This Row],[Unit_Price]]*SalesTable[[#This Row],[Quantity]]</f>
        <v>21000</v>
      </c>
      <c r="M51">
        <f>SalesTable[[#This Row],[Total sales]]*(1-SalesTable[[#This Row],[Discount]])</f>
        <v>21000</v>
      </c>
      <c r="N51" t="str">
        <f>IF(Sales_Data!M51&gt;50000,"high value","normal value")</f>
        <v>normal value</v>
      </c>
    </row>
    <row r="54" spans="1:14" x14ac:dyDescent="0.3">
      <c r="H54">
        <f>SUM(SalesTable[Quantity])</f>
        <v>199</v>
      </c>
      <c r="I54" s="9">
        <f>AVERAGE(SalesTable[Unit_Price])</f>
        <v>8692</v>
      </c>
      <c r="K54">
        <f>COUNTIF(SalesTable[Payment_Mode],"UPI")</f>
        <v>8</v>
      </c>
    </row>
    <row r="55" spans="1:14" x14ac:dyDescent="0.3">
      <c r="H55">
        <f>SUMIF(SalesTable[Region],"South",SalesTable[Quantity])</f>
        <v>28</v>
      </c>
      <c r="I55" s="9">
        <f>MAX(SalesTable[Unit_Price])</f>
        <v>55000</v>
      </c>
    </row>
    <row r="56" spans="1:14" x14ac:dyDescent="0.3">
      <c r="H56">
        <f>SUMIF(SalesTable[Category],"Electronics",SalesTable[Quantity])</f>
        <v>90</v>
      </c>
      <c r="I56">
        <f>MIN(SalesTable[Unit_Price])</f>
        <v>800</v>
      </c>
    </row>
    <row r="57" spans="1:14" x14ac:dyDescent="0.3">
      <c r="I57">
        <f>COUNTA(SalesTable[Order_ID])</f>
        <v>50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2" width="15" customWidth="1"/>
    <col min="3" max="3" width="14" customWidth="1"/>
    <col min="4" max="4" width="18" customWidth="1"/>
    <col min="5" max="5" width="15" customWidth="1"/>
  </cols>
  <sheetData>
    <row r="1" spans="1:5" x14ac:dyDescent="0.3">
      <c r="A1" s="1" t="s">
        <v>3</v>
      </c>
      <c r="B1" s="1" t="s">
        <v>4</v>
      </c>
      <c r="C1" s="1" t="s">
        <v>8</v>
      </c>
      <c r="D1" s="1" t="s">
        <v>99</v>
      </c>
      <c r="E1" s="1" t="s">
        <v>100</v>
      </c>
    </row>
    <row r="2" spans="1:5" x14ac:dyDescent="0.3">
      <c r="A2" t="s">
        <v>79</v>
      </c>
      <c r="B2" t="s">
        <v>24</v>
      </c>
      <c r="C2" s="3">
        <v>55000</v>
      </c>
      <c r="D2" t="s">
        <v>101</v>
      </c>
      <c r="E2" t="s">
        <v>102</v>
      </c>
    </row>
    <row r="3" spans="1:5" x14ac:dyDescent="0.3">
      <c r="A3" t="s">
        <v>13</v>
      </c>
      <c r="B3" t="s">
        <v>14</v>
      </c>
      <c r="C3" s="3">
        <v>800</v>
      </c>
      <c r="D3" t="s">
        <v>103</v>
      </c>
      <c r="E3" t="s">
        <v>102</v>
      </c>
    </row>
    <row r="4" spans="1:5" x14ac:dyDescent="0.3">
      <c r="A4" t="s">
        <v>51</v>
      </c>
      <c r="B4" t="s">
        <v>14</v>
      </c>
      <c r="C4" s="3">
        <v>1500</v>
      </c>
      <c r="D4" t="s">
        <v>104</v>
      </c>
      <c r="E4" t="s">
        <v>102</v>
      </c>
    </row>
    <row r="5" spans="1:5" x14ac:dyDescent="0.3">
      <c r="A5" t="s">
        <v>23</v>
      </c>
      <c r="B5" t="s">
        <v>24</v>
      </c>
      <c r="C5" s="3">
        <v>12000</v>
      </c>
      <c r="D5" t="s">
        <v>101</v>
      </c>
      <c r="E5" t="s">
        <v>102</v>
      </c>
    </row>
    <row r="6" spans="1:5" x14ac:dyDescent="0.3">
      <c r="A6" t="s">
        <v>36</v>
      </c>
      <c r="B6" t="s">
        <v>14</v>
      </c>
      <c r="C6" s="3">
        <v>2200</v>
      </c>
      <c r="D6" t="s">
        <v>105</v>
      </c>
      <c r="E6" t="s">
        <v>102</v>
      </c>
    </row>
    <row r="7" spans="1:5" x14ac:dyDescent="0.3">
      <c r="A7" t="s">
        <v>45</v>
      </c>
      <c r="B7" t="s">
        <v>24</v>
      </c>
      <c r="C7" s="3">
        <v>9500</v>
      </c>
      <c r="D7" t="s">
        <v>101</v>
      </c>
      <c r="E7" t="s">
        <v>106</v>
      </c>
    </row>
    <row r="8" spans="1:5" x14ac:dyDescent="0.3">
      <c r="A8" t="s">
        <v>19</v>
      </c>
      <c r="B8" t="s">
        <v>14</v>
      </c>
      <c r="C8" s="3">
        <v>3500</v>
      </c>
      <c r="D8" t="s">
        <v>103</v>
      </c>
      <c r="E8" t="s">
        <v>102</v>
      </c>
    </row>
    <row r="9" spans="1:5" x14ac:dyDescent="0.3">
      <c r="A9" t="s">
        <v>58</v>
      </c>
      <c r="B9" t="s">
        <v>24</v>
      </c>
      <c r="C9" s="3">
        <v>6500</v>
      </c>
      <c r="D9" t="s">
        <v>105</v>
      </c>
      <c r="E9" t="s">
        <v>102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0" customWidth="1"/>
    <col min="2" max="2" width="90" customWidth="1"/>
    <col min="3" max="3" width="28" customWidth="1"/>
    <col min="5" max="5" width="35" customWidth="1"/>
  </cols>
  <sheetData>
    <row r="1" spans="1:5" x14ac:dyDescent="0.3">
      <c r="A1" s="5" t="s">
        <v>107</v>
      </c>
      <c r="B1" s="5" t="s">
        <v>108</v>
      </c>
      <c r="C1" s="5" t="s">
        <v>109</v>
      </c>
      <c r="E1" s="6"/>
    </row>
    <row r="2" spans="1:5" x14ac:dyDescent="0.3">
      <c r="A2" s="7">
        <v>1</v>
      </c>
      <c r="B2" s="7" t="s">
        <v>110</v>
      </c>
      <c r="C2" s="7" t="s">
        <v>111</v>
      </c>
      <c r="E2" s="8"/>
    </row>
    <row r="3" spans="1:5" x14ac:dyDescent="0.3">
      <c r="A3" s="7">
        <v>2</v>
      </c>
      <c r="B3" s="7" t="s">
        <v>112</v>
      </c>
      <c r="C3" s="7" t="s">
        <v>113</v>
      </c>
    </row>
    <row r="4" spans="1:5" x14ac:dyDescent="0.3">
      <c r="A4" s="7">
        <v>3</v>
      </c>
      <c r="B4" s="7" t="s">
        <v>114</v>
      </c>
      <c r="C4" s="7" t="s">
        <v>115</v>
      </c>
    </row>
    <row r="5" spans="1:5" x14ac:dyDescent="0.3">
      <c r="A5" s="7">
        <v>4</v>
      </c>
      <c r="B5" s="7" t="s">
        <v>116</v>
      </c>
      <c r="C5" s="7" t="s">
        <v>117</v>
      </c>
    </row>
    <row r="6" spans="1:5" x14ac:dyDescent="0.3">
      <c r="A6" s="7">
        <v>5</v>
      </c>
      <c r="B6" s="7" t="s">
        <v>118</v>
      </c>
      <c r="C6" s="7" t="s">
        <v>119</v>
      </c>
    </row>
    <row r="7" spans="1:5" x14ac:dyDescent="0.3">
      <c r="A7" s="7">
        <v>6</v>
      </c>
      <c r="B7" s="7" t="s">
        <v>120</v>
      </c>
      <c r="C7" s="7" t="s">
        <v>121</v>
      </c>
    </row>
    <row r="8" spans="1:5" x14ac:dyDescent="0.3">
      <c r="A8" s="7">
        <v>7</v>
      </c>
      <c r="B8" s="7" t="s">
        <v>122</v>
      </c>
      <c r="C8" s="7" t="s">
        <v>123</v>
      </c>
    </row>
    <row r="9" spans="1:5" x14ac:dyDescent="0.3">
      <c r="A9" s="7">
        <v>8</v>
      </c>
      <c r="B9" s="7" t="s">
        <v>124</v>
      </c>
      <c r="C9" s="7" t="s">
        <v>123</v>
      </c>
    </row>
    <row r="10" spans="1:5" x14ac:dyDescent="0.3">
      <c r="A10" s="7">
        <v>9</v>
      </c>
      <c r="B10" s="7" t="s">
        <v>125</v>
      </c>
      <c r="C10" s="7" t="s">
        <v>126</v>
      </c>
    </row>
    <row r="11" spans="1:5" x14ac:dyDescent="0.3">
      <c r="A11" s="7">
        <v>10</v>
      </c>
      <c r="B11" s="7" t="s">
        <v>127</v>
      </c>
      <c r="C11" s="7" t="s">
        <v>126</v>
      </c>
    </row>
    <row r="12" spans="1:5" x14ac:dyDescent="0.3">
      <c r="A12" s="7">
        <v>11</v>
      </c>
      <c r="B12" s="7" t="s">
        <v>128</v>
      </c>
      <c r="C12" s="7" t="s">
        <v>129</v>
      </c>
    </row>
    <row r="13" spans="1:5" x14ac:dyDescent="0.3">
      <c r="A13" s="7">
        <v>12</v>
      </c>
      <c r="B13" s="7" t="s">
        <v>130</v>
      </c>
      <c r="C13" s="7" t="s">
        <v>129</v>
      </c>
    </row>
    <row r="14" spans="1:5" x14ac:dyDescent="0.3">
      <c r="A14" s="7">
        <v>13</v>
      </c>
      <c r="B14" s="7" t="s">
        <v>131</v>
      </c>
      <c r="C14" s="7" t="s">
        <v>129</v>
      </c>
    </row>
    <row r="15" spans="1:5" x14ac:dyDescent="0.3">
      <c r="A15" s="7">
        <v>14</v>
      </c>
      <c r="B15" s="7" t="s">
        <v>132</v>
      </c>
      <c r="C15" s="7" t="s">
        <v>133</v>
      </c>
    </row>
    <row r="16" spans="1:5" x14ac:dyDescent="0.3">
      <c r="A16" s="7">
        <v>15</v>
      </c>
      <c r="B16" s="7" t="s">
        <v>134</v>
      </c>
      <c r="C16" s="7" t="s">
        <v>135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2" customWidth="1"/>
    <col min="2" max="2" width="35" customWidth="1"/>
  </cols>
  <sheetData>
    <row r="1" spans="1:3" ht="72" x14ac:dyDescent="0.3">
      <c r="A1" s="5" t="s">
        <v>136</v>
      </c>
      <c r="B1" s="5"/>
    </row>
    <row r="2" spans="1:3" x14ac:dyDescent="0.3">
      <c r="A2" s="7"/>
      <c r="B2" s="7"/>
    </row>
    <row r="3" spans="1:3" x14ac:dyDescent="0.3">
      <c r="A3" s="5" t="s">
        <v>107</v>
      </c>
      <c r="B3" s="5" t="s">
        <v>137</v>
      </c>
    </row>
    <row r="4" spans="1:3" x14ac:dyDescent="0.3">
      <c r="A4" s="7">
        <v>1</v>
      </c>
      <c r="B4" s="10">
        <f>SUM(Sales_Data!H2:H51)</f>
        <v>199</v>
      </c>
    </row>
    <row r="5" spans="1:3" x14ac:dyDescent="0.3">
      <c r="A5" s="7">
        <v>2</v>
      </c>
      <c r="B5" s="10">
        <f>AVERAGE(SalesTable[Unit_Price])</f>
        <v>8692</v>
      </c>
    </row>
    <row r="6" spans="1:3" x14ac:dyDescent="0.3">
      <c r="A6" s="7">
        <v>3</v>
      </c>
      <c r="B6" s="10">
        <f>MAX(Sales_Data!I2:I51)</f>
        <v>55000</v>
      </c>
    </row>
    <row r="7" spans="1:3" x14ac:dyDescent="0.3">
      <c r="A7" s="7">
        <v>4</v>
      </c>
      <c r="B7" s="10">
        <f>MIN(Sales_Data!I2:I51)</f>
        <v>800</v>
      </c>
    </row>
    <row r="8" spans="1:3" x14ac:dyDescent="0.3">
      <c r="A8" s="7">
        <v>5</v>
      </c>
      <c r="B8" s="7">
        <f>COUNTA(Sales_Data!A2:A51)</f>
        <v>50</v>
      </c>
    </row>
    <row r="9" spans="1:3" x14ac:dyDescent="0.3">
      <c r="A9" s="7">
        <v>6</v>
      </c>
      <c r="B9" s="7">
        <f>COUNTIF(Sales_Data!K2:K51,"UPI")</f>
        <v>8</v>
      </c>
    </row>
    <row r="10" spans="1:3" x14ac:dyDescent="0.3">
      <c r="A10" s="7">
        <v>7</v>
      </c>
      <c r="B10" s="7">
        <f>SUMIF(Sales_Data!F2:F51,"South",Sales_Data!H2:H51)</f>
        <v>28</v>
      </c>
    </row>
    <row r="11" spans="1:3" x14ac:dyDescent="0.3">
      <c r="A11" s="7">
        <v>8</v>
      </c>
      <c r="B11" s="7" t="s">
        <v>45</v>
      </c>
      <c r="C11" t="str">
        <f>_xlfn.XLOOKUP(B11,Sales_Data!D2:D51,Sales_Data!E2:E51,"nodata",0)</f>
        <v>Electronics</v>
      </c>
    </row>
    <row r="12" spans="1:3" x14ac:dyDescent="0.3">
      <c r="A12" s="7">
        <v>9</v>
      </c>
      <c r="B12" s="7" t="s">
        <v>51</v>
      </c>
      <c r="C12" t="str">
        <f>_xlfn.XLOOKUP(B12,Product_Lookup!A2:A9,Product_Lookup!D2:D9,"no data",0)</f>
        <v>Smart Traders</v>
      </c>
    </row>
    <row r="13" spans="1:3" x14ac:dyDescent="0.3">
      <c r="A13" s="7">
        <v>10</v>
      </c>
      <c r="B13" s="7" t="s">
        <v>19</v>
      </c>
      <c r="C13" t="str">
        <f>_xlfn.XLOOKUP(B13,Product_Lookup!A2:A9,Product_Lookup!E2:E9,"NO data",0)</f>
        <v>In Stock</v>
      </c>
    </row>
    <row r="14" spans="1:3" x14ac:dyDescent="0.3">
      <c r="A14" s="7">
        <v>11</v>
      </c>
      <c r="B14" s="7">
        <f>SUMIF(Sales_Data!G2:G51,"Priya",Sales_Data!M2:M51)</f>
        <v>555530</v>
      </c>
    </row>
    <row r="15" spans="1:3" x14ac:dyDescent="0.3">
      <c r="A15" s="7">
        <v>12</v>
      </c>
      <c r="B15" s="7"/>
    </row>
    <row r="16" spans="1:3" x14ac:dyDescent="0.3">
      <c r="A16" s="7">
        <v>13</v>
      </c>
      <c r="B16" s="7"/>
    </row>
    <row r="17" spans="1:2" x14ac:dyDescent="0.3">
      <c r="A17" s="7">
        <v>14</v>
      </c>
      <c r="B17" s="7"/>
    </row>
    <row r="18" spans="1:2" x14ac:dyDescent="0.3">
      <c r="A18" s="7">
        <v>15</v>
      </c>
      <c r="B1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Product_Lookup</vt:lpstr>
      <vt:lpstr>15_Tasks</vt:lpstr>
      <vt:lpstr>Practice_Area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nandanatv24@outlook.com</cp:lastModifiedBy>
  <dcterms:created xsi:type="dcterms:W3CDTF">2026-10-03T07:57:14Z</dcterms:created>
  <dcterms:modified xsi:type="dcterms:W3CDTF">2026-10-03T10:12:04Z</dcterms:modified>
</cp:coreProperties>
</file>